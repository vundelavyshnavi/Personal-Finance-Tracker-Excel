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4"/>
    <sheet state="visible" name="Income" sheetId="2" r:id="rId5"/>
    <sheet state="visible" name="Expenses" sheetId="3" r:id="rId6"/>
    <sheet state="visible" name="Budget" sheetId="4" r:id="rId7"/>
    <sheet state="visible" name="Summary" sheetId="5" r:id="rId8"/>
    <sheet state="visible" name="Dashboard" sheetId="6" r:id="rId9"/>
  </sheets>
  <definedNames/>
  <calcPr/>
</workbook>
</file>

<file path=xl/sharedStrings.xml><?xml version="1.0" encoding="utf-8"?>
<sst xmlns="http://schemas.openxmlformats.org/spreadsheetml/2006/main" count="105" uniqueCount="49">
  <si>
    <t>Category_ID</t>
  </si>
  <si>
    <t>Category_Name</t>
  </si>
  <si>
    <t>Food</t>
  </si>
  <si>
    <t>Transport</t>
  </si>
  <si>
    <t>Rent</t>
  </si>
  <si>
    <t>Shopping</t>
  </si>
  <si>
    <t>Entertainment</t>
  </si>
  <si>
    <t>Medical</t>
  </si>
  <si>
    <t>Education</t>
  </si>
  <si>
    <t>Other</t>
  </si>
  <si>
    <t>Date</t>
  </si>
  <si>
    <t>Source</t>
  </si>
  <si>
    <t>Amount</t>
  </si>
  <si>
    <t>Salary</t>
  </si>
  <si>
    <t>Freelance</t>
  </si>
  <si>
    <t>Category</t>
  </si>
  <si>
    <t>Description</t>
  </si>
  <si>
    <t>Month</t>
  </si>
  <si>
    <t>Lunch</t>
  </si>
  <si>
    <t>Dinner</t>
  </si>
  <si>
    <t>Bus</t>
  </si>
  <si>
    <t>Clothes</t>
  </si>
  <si>
    <t>May</t>
  </si>
  <si>
    <t>Online course</t>
  </si>
  <si>
    <t>Dec</t>
  </si>
  <si>
    <t>Medicines</t>
  </si>
  <si>
    <t>Aug</t>
  </si>
  <si>
    <t>Movie</t>
  </si>
  <si>
    <t>Jan</t>
  </si>
  <si>
    <t>House rent</t>
  </si>
  <si>
    <t>Oct</t>
  </si>
  <si>
    <t>Monthly_Budget</t>
  </si>
  <si>
    <t>Total Income</t>
  </si>
  <si>
    <t>Total Expense</t>
  </si>
  <si>
    <t>Savings</t>
  </si>
  <si>
    <t>Total Spent</t>
  </si>
  <si>
    <t>Budget</t>
  </si>
  <si>
    <t>Spent</t>
  </si>
  <si>
    <t>Balance</t>
  </si>
  <si>
    <t>other</t>
  </si>
  <si>
    <t>Income</t>
  </si>
  <si>
    <t>Expense</t>
  </si>
  <si>
    <t>Feb</t>
  </si>
  <si>
    <t>Mar</t>
  </si>
  <si>
    <t>Apr</t>
  </si>
  <si>
    <t>Jun</t>
  </si>
  <si>
    <t>Jul</t>
  </si>
  <si>
    <t>Sep</t>
  </si>
  <si>
    <t>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</si>
</sst>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0000"/>
                </a:solidFill>
                <a:latin typeface="+mn-lt"/>
              </a:defRPr>
            </a:pPr>
            <a:r>
              <a:rPr b="1">
                <a:solidFill>
                  <a:srgbClr val="FF0000"/>
                </a:solidFill>
                <a:latin typeface="+mn-lt"/>
              </a:rPr>
              <a:t>Category-wise Expenses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Summary!$F$6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Summary!$D$7:$D$14</c:f>
            </c:strRef>
          </c:cat>
          <c:val>
            <c:numRef>
              <c:f>Summary!$F$7:$F$14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2"/>
                </a:solidFill>
                <a:latin typeface="+mn-lt"/>
              </a:defRPr>
            </a:pPr>
            <a:r>
              <a:rPr b="1">
                <a:solidFill>
                  <a:schemeClr val="accent2"/>
                </a:solidFill>
                <a:latin typeface="+mn-lt"/>
              </a:rPr>
              <a:t>Total Expense vs.Month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Summary!$H$19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Summary!$G$20:$G$30</c:f>
            </c:strRef>
          </c:cat>
          <c:val>
            <c:numRef>
              <c:f>Summary!$H$20:$H$30</c:f>
              <c:numCache/>
            </c:numRef>
          </c:val>
        </c:ser>
        <c:axId val="598196740"/>
        <c:axId val="1715933686"/>
      </c:bar3DChart>
      <c:catAx>
        <c:axId val="598196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933686"/>
      </c:catAx>
      <c:valAx>
        <c:axId val="171593368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1967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0000"/>
                </a:solidFill>
                <a:latin typeface="+mn-lt"/>
              </a:defRPr>
            </a:pPr>
            <a:r>
              <a:rPr b="1">
                <a:solidFill>
                  <a:srgbClr val="FF0000"/>
                </a:solidFill>
                <a:latin typeface="+mn-lt"/>
              </a:rPr>
              <a:t>Budget and Spent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Summary!$E$6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Summary!$D$7:$D$14</c:f>
            </c:strRef>
          </c:cat>
          <c:val>
            <c:numRef>
              <c:f>Summary!$E$7:$E$14</c:f>
              <c:numCache/>
            </c:numRef>
          </c:val>
        </c:ser>
        <c:ser>
          <c:idx val="1"/>
          <c:order val="1"/>
          <c:tx>
            <c:strRef>
              <c:f>Summary!$F$6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Summary!$D$7:$D$14</c:f>
            </c:strRef>
          </c:cat>
          <c:val>
            <c:numRef>
              <c:f>Summary!$F$7:$F$14</c:f>
              <c:numCache/>
            </c:numRef>
          </c:val>
        </c:ser>
        <c:axId val="1821897324"/>
        <c:axId val="1651867551"/>
      </c:bar3DChart>
      <c:catAx>
        <c:axId val="18218973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867551"/>
      </c:catAx>
      <c:valAx>
        <c:axId val="16518675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34343"/>
                </a:solidFill>
                <a:latin typeface="+mn-lt"/>
              </a:defRPr>
            </a:pPr>
          </a:p>
        </c:txPr>
        <c:crossAx val="18218973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0000"/>
                </a:solidFill>
                <a:latin typeface="+mn-lt"/>
              </a:defRPr>
            </a:pPr>
            <a:r>
              <a:rPr b="1">
                <a:solidFill>
                  <a:srgbClr val="FF0000"/>
                </a:solidFill>
                <a:latin typeface="+mn-lt"/>
              </a:rPr>
              <a:t>Savings vs.Month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Summary!$M$20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Summary!$J$21:$J$32</c:f>
            </c:strRef>
          </c:cat>
          <c:val>
            <c:numRef>
              <c:f>Summary!$M$21:$M$32</c:f>
              <c:numCache/>
            </c:numRef>
          </c:val>
          <c:smooth val="1"/>
        </c:ser>
        <c:axId val="412060507"/>
        <c:axId val="1453003995"/>
      </c:lineChart>
      <c:catAx>
        <c:axId val="412060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003995"/>
      </c:catAx>
      <c:valAx>
        <c:axId val="1453003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Savings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060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</xdr:rowOff>
    </xdr:from>
    <xdr:ext cx="38100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714375</xdr:colOff>
      <xdr:row>2</xdr:row>
      <xdr:rowOff>76200</xdr:rowOff>
    </xdr:from>
    <xdr:ext cx="3810000" cy="2857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590550</xdr:colOff>
      <xdr:row>18</xdr:row>
      <xdr:rowOff>19050</xdr:rowOff>
    </xdr:from>
    <xdr:ext cx="381000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685800</xdr:colOff>
      <xdr:row>2</xdr:row>
      <xdr:rowOff>19050</xdr:rowOff>
    </xdr:from>
    <xdr:ext cx="3810000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3.63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  <row r="6">
      <c r="A6" s="2">
        <v>5.0</v>
      </c>
      <c r="B6" s="2" t="s">
        <v>6</v>
      </c>
    </row>
    <row r="7">
      <c r="A7" s="2">
        <v>6.0</v>
      </c>
      <c r="B7" s="2" t="s">
        <v>7</v>
      </c>
    </row>
    <row r="8">
      <c r="A8" s="2">
        <v>7.0</v>
      </c>
      <c r="B8" s="2" t="s">
        <v>8</v>
      </c>
    </row>
    <row r="9">
      <c r="A9" s="2">
        <v>8.0</v>
      </c>
      <c r="B9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  <c r="C1" s="1" t="s">
        <v>12</v>
      </c>
    </row>
    <row r="2">
      <c r="A2" s="3">
        <v>46023.0</v>
      </c>
      <c r="B2" s="2" t="s">
        <v>13</v>
      </c>
      <c r="C2" s="2">
        <v>30000.0</v>
      </c>
    </row>
    <row r="3">
      <c r="A3" s="3">
        <v>46143.0</v>
      </c>
      <c r="B3" s="2" t="s">
        <v>14</v>
      </c>
      <c r="C3" s="2">
        <v>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15</v>
      </c>
      <c r="C1" s="1" t="s">
        <v>16</v>
      </c>
      <c r="D1" s="1" t="s">
        <v>12</v>
      </c>
      <c r="E1" s="2" t="s">
        <v>17</v>
      </c>
    </row>
    <row r="2">
      <c r="A2" s="3">
        <v>46174.0</v>
      </c>
      <c r="B2" s="2" t="s">
        <v>2</v>
      </c>
      <c r="C2" s="2" t="s">
        <v>18</v>
      </c>
      <c r="D2" s="2">
        <v>150.0</v>
      </c>
      <c r="E2" s="4" t="str">
        <f t="shared" ref="E2:E4" si="1">TEXT(A2,"mmm")</f>
        <v>Jun</v>
      </c>
    </row>
    <row r="3">
      <c r="A3" s="5">
        <v>46059.0</v>
      </c>
      <c r="B3" s="2" t="s">
        <v>2</v>
      </c>
      <c r="C3" s="2" t="s">
        <v>19</v>
      </c>
      <c r="D3" s="2">
        <v>300.0</v>
      </c>
      <c r="E3" s="4" t="str">
        <f t="shared" si="1"/>
        <v>Feb</v>
      </c>
    </row>
    <row r="4">
      <c r="A4" s="5">
        <v>46059.0</v>
      </c>
      <c r="B4" s="2" t="s">
        <v>3</v>
      </c>
      <c r="C4" s="2" t="s">
        <v>20</v>
      </c>
      <c r="D4" s="2">
        <v>40.0</v>
      </c>
      <c r="E4" s="4" t="str">
        <f t="shared" si="1"/>
        <v>Feb</v>
      </c>
    </row>
    <row r="5">
      <c r="A5" s="3">
        <v>46148.0</v>
      </c>
      <c r="B5" s="2" t="s">
        <v>5</v>
      </c>
      <c r="C5" s="2" t="s">
        <v>21</v>
      </c>
      <c r="D5" s="2">
        <v>1500.0</v>
      </c>
      <c r="E5" s="6" t="s">
        <v>22</v>
      </c>
    </row>
    <row r="6">
      <c r="A6" s="3">
        <v>46362.0</v>
      </c>
      <c r="B6" s="2" t="s">
        <v>8</v>
      </c>
      <c r="C6" s="2" t="s">
        <v>23</v>
      </c>
      <c r="D6" s="2">
        <v>1200.0</v>
      </c>
      <c r="E6" s="6" t="s">
        <v>24</v>
      </c>
    </row>
    <row r="7">
      <c r="A7" s="3">
        <v>46252.0</v>
      </c>
      <c r="B7" s="2" t="s">
        <v>7</v>
      </c>
      <c r="C7" s="2" t="s">
        <v>25</v>
      </c>
      <c r="D7" s="2">
        <v>250.0</v>
      </c>
      <c r="E7" s="6" t="s">
        <v>26</v>
      </c>
    </row>
    <row r="8">
      <c r="A8" s="3">
        <v>46034.0</v>
      </c>
      <c r="B8" s="2" t="s">
        <v>6</v>
      </c>
      <c r="C8" s="2" t="s">
        <v>27</v>
      </c>
      <c r="D8" s="2">
        <v>300.0</v>
      </c>
      <c r="E8" s="6" t="s">
        <v>28</v>
      </c>
    </row>
    <row r="9">
      <c r="A9" s="3">
        <v>46301.0</v>
      </c>
      <c r="B9" s="2" t="s">
        <v>4</v>
      </c>
      <c r="C9" s="2" t="s">
        <v>29</v>
      </c>
      <c r="D9" s="2">
        <v>8000.0</v>
      </c>
      <c r="E9" s="6" t="s">
        <v>30</v>
      </c>
    </row>
  </sheetData>
  <dataValidations>
    <dataValidation type="list" allowBlank="1" showErrorMessage="1" sqref="B1:B9">
      <formula1>"Category,Food,Transport,Rent,Shopping,Entertainment,Medical,Education,other"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31</v>
      </c>
    </row>
    <row r="2">
      <c r="A2" s="2" t="s">
        <v>2</v>
      </c>
      <c r="B2" s="2">
        <v>4000.0</v>
      </c>
    </row>
    <row r="3">
      <c r="A3" s="2" t="s">
        <v>3</v>
      </c>
      <c r="B3" s="2">
        <v>1500.0</v>
      </c>
    </row>
    <row r="4">
      <c r="A4" s="2" t="s">
        <v>4</v>
      </c>
      <c r="B4" s="2">
        <v>8000.0</v>
      </c>
    </row>
    <row r="5">
      <c r="A5" s="2" t="s">
        <v>5</v>
      </c>
      <c r="B5" s="2">
        <v>3000.0</v>
      </c>
    </row>
    <row r="6">
      <c r="A6" s="2" t="s">
        <v>6</v>
      </c>
      <c r="B6" s="2">
        <v>2000.0</v>
      </c>
    </row>
    <row r="7">
      <c r="A7" s="2" t="s">
        <v>7</v>
      </c>
      <c r="B7" s="2">
        <v>1000.0</v>
      </c>
    </row>
    <row r="8">
      <c r="A8" s="2" t="s">
        <v>8</v>
      </c>
      <c r="B8" s="2">
        <v>2000.0</v>
      </c>
    </row>
    <row r="9">
      <c r="A9" s="2" t="s">
        <v>9</v>
      </c>
      <c r="B9" s="2">
        <v>1500.0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7">
        <f>SUM(Income!C:C)</f>
        <v>35000</v>
      </c>
      <c r="C1" s="7"/>
      <c r="D1" s="7"/>
      <c r="E1" s="7"/>
      <c r="F1" s="7"/>
      <c r="G1" s="7"/>
    </row>
    <row r="2">
      <c r="A2" s="1" t="s">
        <v>33</v>
      </c>
      <c r="B2" s="7">
        <f>SUM(Expenses!D:D)</f>
        <v>11740</v>
      </c>
      <c r="C2" s="7"/>
      <c r="D2" s="7"/>
      <c r="E2" s="7"/>
      <c r="F2" s="7"/>
      <c r="G2" s="7"/>
    </row>
    <row r="3">
      <c r="A3" s="1" t="s">
        <v>34</v>
      </c>
      <c r="B3" s="7">
        <f>B1-B2</f>
        <v>23260</v>
      </c>
      <c r="C3" s="7"/>
      <c r="D3" s="7"/>
      <c r="E3" s="7"/>
      <c r="F3" s="7"/>
      <c r="G3" s="7"/>
    </row>
    <row r="4">
      <c r="A4" s="7"/>
      <c r="B4" s="7"/>
      <c r="C4" s="7"/>
      <c r="D4" s="7"/>
      <c r="E4" s="7"/>
      <c r="F4" s="7"/>
      <c r="G4" s="7"/>
    </row>
    <row r="5">
      <c r="A5" s="7"/>
      <c r="B5" s="7"/>
      <c r="C5" s="7"/>
      <c r="D5" s="7"/>
      <c r="E5" s="7"/>
      <c r="F5" s="7"/>
      <c r="G5" s="7"/>
    </row>
    <row r="6">
      <c r="A6" s="1" t="s">
        <v>15</v>
      </c>
      <c r="B6" s="1" t="s">
        <v>35</v>
      </c>
      <c r="C6" s="7"/>
      <c r="D6" s="1" t="s">
        <v>15</v>
      </c>
      <c r="E6" s="1" t="s">
        <v>36</v>
      </c>
      <c r="F6" s="1" t="s">
        <v>37</v>
      </c>
      <c r="G6" s="1" t="s">
        <v>38</v>
      </c>
    </row>
    <row r="7">
      <c r="A7" s="2" t="s">
        <v>2</v>
      </c>
      <c r="B7" s="7">
        <f>SUMIFS(Expenses!D:D, Expenses!B:B, A7)</f>
        <v>450</v>
      </c>
      <c r="C7" s="7"/>
      <c r="D7" s="2" t="s">
        <v>2</v>
      </c>
      <c r="E7" s="7">
        <f>VLOOKUP(D7, Budget!A:B, 2, FALSE)</f>
        <v>4000</v>
      </c>
      <c r="F7" s="7">
        <f>SUMIFS(Expenses!D:D, Expenses!B:B, D7)</f>
        <v>450</v>
      </c>
      <c r="G7" s="7">
        <f t="shared" ref="G7:G14" si="1">E7-F7</f>
        <v>3550</v>
      </c>
    </row>
    <row r="8">
      <c r="A8" s="2" t="s">
        <v>3</v>
      </c>
      <c r="B8" s="7">
        <f>SUMIFS(Expenses!D:D, Expenses!B:B, A8)</f>
        <v>40</v>
      </c>
      <c r="C8" s="7"/>
      <c r="D8" s="2" t="s">
        <v>3</v>
      </c>
      <c r="E8" s="7">
        <f>VLOOKUP(D8, Budget!A:B, 2, FALSE)</f>
        <v>1500</v>
      </c>
      <c r="F8" s="7">
        <f>SUMIFS(Expenses!D:D, Expenses!B:B, D8)</f>
        <v>40</v>
      </c>
      <c r="G8" s="7">
        <f t="shared" si="1"/>
        <v>1460</v>
      </c>
    </row>
    <row r="9">
      <c r="A9" s="2" t="s">
        <v>4</v>
      </c>
      <c r="B9" s="7">
        <f>SUMIFS(Expenses!D:D, Expenses!B:B, A9)</f>
        <v>8000</v>
      </c>
      <c r="C9" s="7"/>
      <c r="D9" s="2" t="s">
        <v>4</v>
      </c>
      <c r="E9" s="7">
        <f>VLOOKUP(D9, Budget!A:B, 2, FALSE)</f>
        <v>8000</v>
      </c>
      <c r="F9" s="7">
        <f>SUMIFS(Expenses!D:D, Expenses!B:B, D9)</f>
        <v>8000</v>
      </c>
      <c r="G9" s="7">
        <f t="shared" si="1"/>
        <v>0</v>
      </c>
    </row>
    <row r="10">
      <c r="A10" s="2" t="s">
        <v>5</v>
      </c>
      <c r="B10" s="7">
        <f>SUMIFS(Expenses!D:D, Expenses!B:B, A10)</f>
        <v>1500</v>
      </c>
      <c r="C10" s="7"/>
      <c r="D10" s="2" t="s">
        <v>5</v>
      </c>
      <c r="E10" s="7">
        <f>VLOOKUP(D10, Budget!A:B, 2, FALSE)</f>
        <v>3000</v>
      </c>
      <c r="F10" s="7">
        <f>SUMIFS(Expenses!D:D, Expenses!B:B, D10)</f>
        <v>1500</v>
      </c>
      <c r="G10" s="7">
        <f t="shared" si="1"/>
        <v>1500</v>
      </c>
    </row>
    <row r="11">
      <c r="A11" s="2" t="s">
        <v>6</v>
      </c>
      <c r="B11" s="7">
        <f>SUMIFS(Expenses!D:D, Expenses!B:B, A11)</f>
        <v>300</v>
      </c>
      <c r="C11" s="7"/>
      <c r="D11" s="2" t="s">
        <v>6</v>
      </c>
      <c r="E11" s="7">
        <f>VLOOKUP(D11, Budget!A:B, 2, FALSE)</f>
        <v>2000</v>
      </c>
      <c r="F11" s="7">
        <f>SUMIFS(Expenses!D:D, Expenses!B:B, D11)</f>
        <v>300</v>
      </c>
      <c r="G11" s="7">
        <f t="shared" si="1"/>
        <v>1700</v>
      </c>
    </row>
    <row r="12">
      <c r="A12" s="2" t="s">
        <v>7</v>
      </c>
      <c r="B12" s="7">
        <f>SUMIFS(Expenses!D:D, Expenses!B:B, A12)</f>
        <v>250</v>
      </c>
      <c r="C12" s="7"/>
      <c r="D12" s="2" t="s">
        <v>7</v>
      </c>
      <c r="E12" s="7">
        <f>VLOOKUP(D12, Budget!A:B, 2, FALSE)</f>
        <v>1000</v>
      </c>
      <c r="F12" s="7">
        <f>SUMIFS(Expenses!D:D, Expenses!B:B, D12)</f>
        <v>250</v>
      </c>
      <c r="G12" s="7">
        <f t="shared" si="1"/>
        <v>750</v>
      </c>
    </row>
    <row r="13">
      <c r="A13" s="2" t="s">
        <v>8</v>
      </c>
      <c r="B13" s="7">
        <f>SUMIFS(Expenses!D:D, Expenses!B:B, A13)</f>
        <v>1200</v>
      </c>
      <c r="C13" s="7"/>
      <c r="D13" s="2" t="s">
        <v>8</v>
      </c>
      <c r="E13" s="7">
        <f>VLOOKUP(D13, Budget!A:B, 2, FALSE)</f>
        <v>2000</v>
      </c>
      <c r="F13" s="7">
        <f>SUMIFS(Expenses!D:D, Expenses!B:B, D13)</f>
        <v>1200</v>
      </c>
      <c r="G13" s="7">
        <f t="shared" si="1"/>
        <v>800</v>
      </c>
    </row>
    <row r="14">
      <c r="A14" s="2" t="s">
        <v>39</v>
      </c>
      <c r="B14" s="7">
        <f>SUMIFS(Expenses!D:D, Expenses!B:B, A14)</f>
        <v>0</v>
      </c>
      <c r="C14" s="7"/>
      <c r="D14" s="2" t="s">
        <v>39</v>
      </c>
      <c r="E14" s="7">
        <f>VLOOKUP(D14, Budget!A:B, 2, FALSE)</f>
        <v>1500</v>
      </c>
      <c r="F14" s="7">
        <f>SUMIFS(Expenses!D:D, Expenses!B:B, D14)</f>
        <v>0</v>
      </c>
      <c r="G14" s="7">
        <f t="shared" si="1"/>
        <v>1500</v>
      </c>
    </row>
    <row r="19">
      <c r="G19" s="1" t="s">
        <v>17</v>
      </c>
      <c r="H19" s="1" t="s">
        <v>33</v>
      </c>
    </row>
    <row r="20">
      <c r="G20" s="2" t="s">
        <v>28</v>
      </c>
      <c r="H20" s="4">
        <f>SUMIFS(Expenses!D:D, Expenses!E:E, G20)</f>
        <v>300</v>
      </c>
      <c r="J20" s="1" t="s">
        <v>17</v>
      </c>
      <c r="K20" s="1" t="s">
        <v>40</v>
      </c>
      <c r="L20" s="1" t="s">
        <v>41</v>
      </c>
      <c r="M20" s="1" t="s">
        <v>34</v>
      </c>
    </row>
    <row r="21">
      <c r="G21" s="2" t="s">
        <v>42</v>
      </c>
      <c r="H21" s="4">
        <f>SUMIFS(Expenses!D:D, Expenses!E:E, G21)</f>
        <v>340</v>
      </c>
      <c r="J21" s="2" t="s">
        <v>28</v>
      </c>
      <c r="K21" s="7">
        <f t="shared" ref="K21:K32" si="2">$B$1</f>
        <v>35000</v>
      </c>
      <c r="L21" s="7">
        <f t="shared" ref="L21:L32" si="3">H21</f>
        <v>340</v>
      </c>
      <c r="M21" s="7">
        <f t="shared" ref="M21:M32" si="4">K21 - L21</f>
        <v>34660</v>
      </c>
    </row>
    <row r="22">
      <c r="G22" s="2" t="s">
        <v>43</v>
      </c>
      <c r="H22" s="4">
        <f>SUMIFS(Expenses!D:D, Expenses!E:E, G22)</f>
        <v>0</v>
      </c>
      <c r="J22" s="2" t="s">
        <v>42</v>
      </c>
      <c r="K22" s="7">
        <f t="shared" si="2"/>
        <v>35000</v>
      </c>
      <c r="L22" s="7">
        <f t="shared" si="3"/>
        <v>0</v>
      </c>
      <c r="M22" s="7">
        <f t="shared" si="4"/>
        <v>35000</v>
      </c>
    </row>
    <row r="23">
      <c r="G23" s="2" t="s">
        <v>44</v>
      </c>
      <c r="H23" s="4">
        <f>SUMIFS(Expenses!D:D, Expenses!E:E, G23)</f>
        <v>0</v>
      </c>
      <c r="J23" s="2" t="s">
        <v>43</v>
      </c>
      <c r="K23" s="7">
        <f t="shared" si="2"/>
        <v>35000</v>
      </c>
      <c r="L23" s="7">
        <f t="shared" si="3"/>
        <v>0</v>
      </c>
      <c r="M23" s="7">
        <f t="shared" si="4"/>
        <v>35000</v>
      </c>
    </row>
    <row r="24">
      <c r="G24" s="2" t="s">
        <v>22</v>
      </c>
      <c r="H24" s="4">
        <f>SUMIFS(Expenses!D:D, Expenses!E:E, G24)</f>
        <v>1500</v>
      </c>
      <c r="J24" s="2" t="s">
        <v>44</v>
      </c>
      <c r="K24" s="7">
        <f t="shared" si="2"/>
        <v>35000</v>
      </c>
      <c r="L24" s="7">
        <f t="shared" si="3"/>
        <v>1500</v>
      </c>
      <c r="M24" s="7">
        <f t="shared" si="4"/>
        <v>33500</v>
      </c>
    </row>
    <row r="25">
      <c r="G25" s="2" t="s">
        <v>45</v>
      </c>
      <c r="H25" s="4">
        <f>SUMIFS(Expenses!D:D, Expenses!E:E, G25)</f>
        <v>150</v>
      </c>
      <c r="J25" s="2" t="s">
        <v>22</v>
      </c>
      <c r="K25" s="7">
        <f t="shared" si="2"/>
        <v>35000</v>
      </c>
      <c r="L25" s="7">
        <f t="shared" si="3"/>
        <v>150</v>
      </c>
      <c r="M25" s="7">
        <f t="shared" si="4"/>
        <v>34850</v>
      </c>
    </row>
    <row r="26">
      <c r="G26" s="2" t="s">
        <v>46</v>
      </c>
      <c r="H26" s="4">
        <f>SUMIFS(Expenses!D:D, Expenses!E:E, G26)</f>
        <v>0</v>
      </c>
      <c r="J26" s="2" t="s">
        <v>45</v>
      </c>
      <c r="K26" s="7">
        <f t="shared" si="2"/>
        <v>35000</v>
      </c>
      <c r="L26" s="7">
        <f t="shared" si="3"/>
        <v>0</v>
      </c>
      <c r="M26" s="7">
        <f t="shared" si="4"/>
        <v>35000</v>
      </c>
    </row>
    <row r="27">
      <c r="G27" s="2" t="s">
        <v>26</v>
      </c>
      <c r="H27" s="4">
        <f>SUMIFS(Expenses!D:D, Expenses!E:E, G27)</f>
        <v>250</v>
      </c>
      <c r="J27" s="2" t="s">
        <v>46</v>
      </c>
      <c r="K27" s="7">
        <f t="shared" si="2"/>
        <v>35000</v>
      </c>
      <c r="L27" s="7">
        <f t="shared" si="3"/>
        <v>250</v>
      </c>
      <c r="M27" s="7">
        <f t="shared" si="4"/>
        <v>34750</v>
      </c>
    </row>
    <row r="28">
      <c r="G28" s="2" t="s">
        <v>47</v>
      </c>
      <c r="H28" s="4">
        <f>SUMIFS(Expenses!D:D, Expenses!E:E, G28)</f>
        <v>0</v>
      </c>
      <c r="J28" s="2" t="s">
        <v>26</v>
      </c>
      <c r="K28" s="7">
        <f t="shared" si="2"/>
        <v>35000</v>
      </c>
      <c r="L28" s="7">
        <f t="shared" si="3"/>
        <v>0</v>
      </c>
      <c r="M28" s="7">
        <f t="shared" si="4"/>
        <v>35000</v>
      </c>
    </row>
    <row r="29">
      <c r="G29" s="2" t="s">
        <v>48</v>
      </c>
      <c r="H29" s="4">
        <f>SUMIFS(Expenses!D:D, Expenses!E:E, G29)</f>
        <v>0</v>
      </c>
      <c r="J29" s="2" t="s">
        <v>47</v>
      </c>
      <c r="K29" s="7">
        <f t="shared" si="2"/>
        <v>35000</v>
      </c>
      <c r="L29" s="7">
        <f t="shared" si="3"/>
        <v>0</v>
      </c>
      <c r="M29" s="7">
        <f t="shared" si="4"/>
        <v>35000</v>
      </c>
    </row>
    <row r="30">
      <c r="G30" s="2" t="s">
        <v>24</v>
      </c>
      <c r="H30" s="4">
        <f>SUMIFS(Expenses!D:D, Expenses!E:E, G30)</f>
        <v>1200</v>
      </c>
      <c r="J30" s="2" t="s">
        <v>30</v>
      </c>
      <c r="K30" s="7">
        <f t="shared" si="2"/>
        <v>35000</v>
      </c>
      <c r="L30" s="7">
        <f t="shared" si="3"/>
        <v>1200</v>
      </c>
      <c r="M30" s="7">
        <f t="shared" si="4"/>
        <v>33800</v>
      </c>
    </row>
    <row r="31">
      <c r="J31" s="2" t="s">
        <v>48</v>
      </c>
      <c r="K31" s="7">
        <f t="shared" si="2"/>
        <v>35000</v>
      </c>
      <c r="L31" s="7" t="str">
        <f t="shared" si="3"/>
        <v/>
      </c>
      <c r="M31" s="7">
        <f t="shared" si="4"/>
        <v>35000</v>
      </c>
    </row>
    <row r="32">
      <c r="J32" s="2" t="s">
        <v>24</v>
      </c>
      <c r="K32" s="7">
        <f t="shared" si="2"/>
        <v>35000</v>
      </c>
      <c r="L32" s="7" t="str">
        <f t="shared" si="3"/>
        <v/>
      </c>
      <c r="M32" s="7">
        <f t="shared" si="4"/>
        <v>35000</v>
      </c>
    </row>
  </sheetData>
  <conditionalFormatting sqref="F7:F14">
    <cfRule type="colorScale" priority="1">
      <colorScale>
        <cfvo type="formula" val="&gt;0"/>
        <cfvo type="formula" val="&lt;500"/>
        <color rgb="FFFFFF00"/>
        <color rgb="FFFF0000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